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Balances" sheetId="3" state="visible" r:id="rId3"/>
    <sheet xmlns:r="http://schemas.openxmlformats.org/officeDocument/2006/relationships" name="Settle Up" sheetId="4" state="visible" r:id="rId4"/>
  </sheets>
  <definedNames>
    <definedName name="Travelers">People!$A$10:$A$21</definedName>
    <definedName name="_xlnm._FilterDatabase" localSheetId="1" hidden="1">'Expenses'!$A$1:$Q$101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MM/DD/YYYY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1"/>
    </font>
    <font>
      <b val="1"/>
      <color rgb="00FFFFFF"/>
      <sz val="11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 wrapText="1"/>
    </xf>
    <xf numFmtId="165" fontId="0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/>
    </xf>
    <xf numFmtId="0" fontId="3" fillId="2" borderId="0" pivotButton="0" quotePrefix="0" xfId="0"/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Trip Expense Splitter</t>
        </is>
      </c>
    </row>
    <row r="2" ht="15" customHeight="1">
      <c r="A2" t="inlineStr">
        <is>
          <t>A free, no-signup alternative to Splitwise. Enter each trip expense once,</t>
        </is>
      </c>
    </row>
    <row r="3" ht="15" customHeight="1">
      <c r="A3" t="inlineStr">
        <is>
          <t>mark who paid and who shares it, and the sheets compute who owes whom.</t>
        </is>
      </c>
    </row>
    <row r="4" ht="15" customHeight="1">
      <c r="A4" t="inlineStr"/>
    </row>
    <row r="5" ht="15" customHeight="1">
      <c r="A5" t="inlineStr">
        <is>
          <t>HOW TO USE (5 steps):</t>
        </is>
      </c>
    </row>
    <row r="6" ht="15" customHeight="1">
      <c r="A6" t="inlineStr">
        <is>
          <t>1. Type the traveler names below (up to 12). The other sheets update automatically.</t>
        </is>
      </c>
    </row>
    <row r="7" ht="15" customHeight="1">
      <c r="A7" t="inlineStr">
        <is>
          <t>2. On the Expenses sheet, add one row per expense: date, description, who paid,</t>
        </is>
      </c>
    </row>
    <row r="8" ht="15" customHeight="1">
      <c r="A8" t="inlineStr">
        <is>
          <t xml:space="preserve">   amount, then put TRUE in each traveler's column who shares that expense.</t>
        </is>
      </c>
    </row>
    <row r="9" ht="15" customHeight="1">
      <c r="A9" s="2" t="inlineStr">
        <is>
          <t>Traveler name (edit me)</t>
        </is>
      </c>
    </row>
    <row r="10" ht="15" customHeight="1">
      <c r="A10" s="3" t="inlineStr">
        <is>
          <t>Person 1</t>
        </is>
      </c>
    </row>
    <row r="11" ht="15" customHeight="1">
      <c r="A11" s="3" t="inlineStr">
        <is>
          <t>Person 2</t>
        </is>
      </c>
    </row>
    <row r="12" ht="15" customHeight="1">
      <c r="A12" s="3" t="inlineStr">
        <is>
          <t>Person 3</t>
        </is>
      </c>
    </row>
    <row r="13" ht="15" customHeight="1">
      <c r="A13" s="3" t="inlineStr">
        <is>
          <t>Person 4</t>
        </is>
      </c>
    </row>
    <row r="14" ht="15" customHeight="1">
      <c r="A14" s="3" t="inlineStr">
        <is>
          <t>Person 5</t>
        </is>
      </c>
    </row>
    <row r="15" ht="15" customHeight="1">
      <c r="A15" s="3" t="inlineStr">
        <is>
          <t>Person 6</t>
        </is>
      </c>
    </row>
    <row r="16" ht="15" customHeight="1">
      <c r="A16" s="3" t="inlineStr">
        <is>
          <t>Person 7</t>
        </is>
      </c>
    </row>
    <row r="17" ht="15" customHeight="1">
      <c r="A17" s="3" t="inlineStr">
        <is>
          <t>Person 8</t>
        </is>
      </c>
    </row>
    <row r="18" ht="15" customHeight="1">
      <c r="A18" s="3" t="inlineStr">
        <is>
          <t>Person 9</t>
        </is>
      </c>
    </row>
    <row r="19" ht="15" customHeight="1">
      <c r="A19" s="3" t="inlineStr">
        <is>
          <t>Person 10</t>
        </is>
      </c>
    </row>
    <row r="20" ht="15" customHeight="1">
      <c r="A20" s="3" t="inlineStr">
        <is>
          <t>Person 11</t>
        </is>
      </c>
    </row>
    <row r="21" ht="15" customHeight="1">
      <c r="A21" s="3" t="inlineStr">
        <is>
          <t>Person 12</t>
        </is>
      </c>
    </row>
    <row r="22" ht="15" customHeight="1"/>
    <row r="23" ht="15" customHeight="1"/>
    <row r="24" ht="1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6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2" customWidth="1" min="17" max="17"/>
  </cols>
  <sheetData>
    <row r="1" ht="30" customHeight="1">
      <c r="A1" s="4" t="inlineStr">
        <is>
          <t>Date</t>
        </is>
      </c>
      <c r="B1" s="4" t="inlineStr">
        <is>
          <t>Description</t>
        </is>
      </c>
      <c r="C1" s="4" t="inlineStr">
        <is>
          <t>Paid By</t>
        </is>
      </c>
      <c r="D1" s="4" t="inlineStr">
        <is>
          <t>Amount</t>
        </is>
      </c>
      <c r="E1" s="4">
        <f>People!$A$10</f>
        <v/>
      </c>
      <c r="F1" s="4">
        <f>People!$A$11</f>
        <v/>
      </c>
      <c r="G1" s="4">
        <f>People!$A$12</f>
        <v/>
      </c>
      <c r="H1" s="4">
        <f>People!$A$13</f>
        <v/>
      </c>
      <c r="I1" s="4">
        <f>People!$A$14</f>
        <v/>
      </c>
      <c r="J1" s="4">
        <f>People!$A$15</f>
        <v/>
      </c>
      <c r="K1" s="4">
        <f>People!$A$16</f>
        <v/>
      </c>
      <c r="L1" s="4">
        <f>People!$A$17</f>
        <v/>
      </c>
      <c r="M1" s="4">
        <f>People!$A$18</f>
        <v/>
      </c>
      <c r="N1" s="4">
        <f>People!$A$19</f>
        <v/>
      </c>
      <c r="O1" s="4">
        <f>People!$A$20</f>
        <v/>
      </c>
      <c r="P1" s="4">
        <f>People!$A$21</f>
        <v/>
      </c>
      <c r="Q1" s="4" t="inlineStr">
        <is>
          <t>Share Each</t>
        </is>
      </c>
    </row>
    <row r="2">
      <c r="A2" s="5" t="n"/>
      <c r="B2" s="6" t="n"/>
      <c r="C2" s="6" t="n"/>
      <c r="D2" s="7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7">
        <f>IFERROR(D2/COUNTIF(E2:P2,TRUE),0)</f>
        <v/>
      </c>
    </row>
    <row r="3">
      <c r="A3" s="5" t="n"/>
      <c r="B3" s="6" t="n"/>
      <c r="C3" s="6" t="n"/>
      <c r="D3" s="7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7">
        <f>IFERROR(D3/COUNTIF(E3:P3,TRUE),0)</f>
        <v/>
      </c>
    </row>
    <row r="4">
      <c r="A4" s="5" t="n"/>
      <c r="B4" s="6" t="n"/>
      <c r="C4" s="6" t="n"/>
      <c r="D4" s="7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7">
        <f>IFERROR(D4/COUNTIF(E4:P4,TRUE),0)</f>
        <v/>
      </c>
    </row>
    <row r="5">
      <c r="A5" s="5" t="n"/>
      <c r="B5" s="6" t="n"/>
      <c r="C5" s="6" t="n"/>
      <c r="D5" s="7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7">
        <f>IFERROR(D5/COUNTIF(E5:P5,TRUE),0)</f>
        <v/>
      </c>
    </row>
    <row r="6">
      <c r="A6" s="5" t="n"/>
      <c r="B6" s="6" t="n"/>
      <c r="C6" s="6" t="n"/>
      <c r="D6" s="7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7">
        <f>IFERROR(D6/COUNTIF(E6:P6,TRUE),0)</f>
        <v/>
      </c>
    </row>
    <row r="7">
      <c r="A7" s="5" t="n"/>
      <c r="B7" s="6" t="n"/>
      <c r="C7" s="6" t="n"/>
      <c r="D7" s="7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7">
        <f>IFERROR(D7/COUNTIF(E7:P7,TRUE),0)</f>
        <v/>
      </c>
    </row>
    <row r="8">
      <c r="A8" s="5" t="n"/>
      <c r="B8" s="6" t="n"/>
      <c r="C8" s="6" t="n"/>
      <c r="D8" s="7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7">
        <f>IFERROR(D8/COUNTIF(E8:P8,TRUE),0)</f>
        <v/>
      </c>
    </row>
    <row r="9">
      <c r="A9" s="5" t="n"/>
      <c r="B9" s="6" t="n"/>
      <c r="C9" s="6" t="n"/>
      <c r="D9" s="7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7">
        <f>IFERROR(D9/COUNTIF(E9:P9,TRUE),0)</f>
        <v/>
      </c>
    </row>
    <row r="10">
      <c r="A10" s="5" t="n"/>
      <c r="B10" s="6" t="n"/>
      <c r="C10" s="6" t="n"/>
      <c r="D10" s="7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7">
        <f>IFERROR(D10/COUNTIF(E10:P10,TRUE),0)</f>
        <v/>
      </c>
    </row>
    <row r="11">
      <c r="A11" s="5" t="n"/>
      <c r="B11" s="6" t="n"/>
      <c r="C11" s="6" t="n"/>
      <c r="D11" s="7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7">
        <f>IFERROR(D11/COUNTIF(E11:P11,TRUE),0)</f>
        <v/>
      </c>
    </row>
    <row r="12">
      <c r="A12" s="5" t="n"/>
      <c r="B12" s="6" t="n"/>
      <c r="C12" s="6" t="n"/>
      <c r="D12" s="7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7">
        <f>IFERROR(D12/COUNTIF(E12:P12,TRUE),0)</f>
        <v/>
      </c>
    </row>
    <row r="13">
      <c r="A13" s="5" t="n"/>
      <c r="B13" s="6" t="n"/>
      <c r="C13" s="6" t="n"/>
      <c r="D13" s="7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7">
        <f>IFERROR(D13/COUNTIF(E13:P13,TRUE),0)</f>
        <v/>
      </c>
    </row>
    <row r="14">
      <c r="A14" s="5" t="n"/>
      <c r="B14" s="6" t="n"/>
      <c r="C14" s="6" t="n"/>
      <c r="D14" s="7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7">
        <f>IFERROR(D14/COUNTIF(E14:P14,TRUE),0)</f>
        <v/>
      </c>
    </row>
    <row r="15">
      <c r="A15" s="5" t="n"/>
      <c r="B15" s="6" t="n"/>
      <c r="C15" s="6" t="n"/>
      <c r="D15" s="7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7">
        <f>IFERROR(D15/COUNTIF(E15:P15,TRUE),0)</f>
        <v/>
      </c>
    </row>
    <row r="16">
      <c r="A16" s="5" t="n"/>
      <c r="B16" s="6" t="n"/>
      <c r="C16" s="6" t="n"/>
      <c r="D16" s="7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7">
        <f>IFERROR(D16/COUNTIF(E16:P16,TRUE),0)</f>
        <v/>
      </c>
    </row>
    <row r="17">
      <c r="A17" s="5" t="n"/>
      <c r="B17" s="6" t="n"/>
      <c r="C17" s="6" t="n"/>
      <c r="D17" s="7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7">
        <f>IFERROR(D17/COUNTIF(E17:P17,TRUE),0)</f>
        <v/>
      </c>
    </row>
    <row r="18">
      <c r="A18" s="5" t="n"/>
      <c r="B18" s="6" t="n"/>
      <c r="C18" s="6" t="n"/>
      <c r="D18" s="7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7">
        <f>IFERROR(D18/COUNTIF(E18:P18,TRUE),0)</f>
        <v/>
      </c>
    </row>
    <row r="19">
      <c r="A19" s="5" t="n"/>
      <c r="B19" s="6" t="n"/>
      <c r="C19" s="6" t="n"/>
      <c r="D19" s="7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7">
        <f>IFERROR(D19/COUNTIF(E19:P19,TRUE),0)</f>
        <v/>
      </c>
    </row>
    <row r="20">
      <c r="A20" s="5" t="n"/>
      <c r="B20" s="6" t="n"/>
      <c r="C20" s="6" t="n"/>
      <c r="D20" s="7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7">
        <f>IFERROR(D20/COUNTIF(E20:P20,TRUE),0)</f>
        <v/>
      </c>
    </row>
    <row r="21">
      <c r="A21" s="5" t="n"/>
      <c r="B21" s="6" t="n"/>
      <c r="C21" s="6" t="n"/>
      <c r="D21" s="7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7">
        <f>IFERROR(D21/COUNTIF(E21:P21,TRUE),0)</f>
        <v/>
      </c>
    </row>
    <row r="22">
      <c r="A22" s="5" t="n"/>
      <c r="B22" s="6" t="n"/>
      <c r="C22" s="6" t="n"/>
      <c r="D22" s="7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7">
        <f>IFERROR(D22/COUNTIF(E22:P22,TRUE),0)</f>
        <v/>
      </c>
    </row>
    <row r="23">
      <c r="A23" s="5" t="n"/>
      <c r="B23" s="6" t="n"/>
      <c r="C23" s="6" t="n"/>
      <c r="D23" s="7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7">
        <f>IFERROR(D23/COUNTIF(E23:P23,TRUE),0)</f>
        <v/>
      </c>
    </row>
    <row r="24">
      <c r="A24" s="5" t="n"/>
      <c r="B24" s="6" t="n"/>
      <c r="C24" s="6" t="n"/>
      <c r="D24" s="7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7">
        <f>IFERROR(D24/COUNTIF(E24:P24,TRUE),0)</f>
        <v/>
      </c>
    </row>
    <row r="25">
      <c r="A25" s="5" t="n"/>
      <c r="B25" s="6" t="n"/>
      <c r="C25" s="6" t="n"/>
      <c r="D25" s="7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7">
        <f>IFERROR(D25/COUNTIF(E25:P25,TRUE),0)</f>
        <v/>
      </c>
    </row>
    <row r="26">
      <c r="A26" s="5" t="n"/>
      <c r="B26" s="6" t="n"/>
      <c r="C26" s="6" t="n"/>
      <c r="D26" s="7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7">
        <f>IFERROR(D26/COUNTIF(E26:P26,TRUE),0)</f>
        <v/>
      </c>
    </row>
    <row r="27">
      <c r="A27" s="5" t="n"/>
      <c r="B27" s="6" t="n"/>
      <c r="C27" s="6" t="n"/>
      <c r="D27" s="7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7">
        <f>IFERROR(D27/COUNTIF(E27:P27,TRUE),0)</f>
        <v/>
      </c>
    </row>
    <row r="28">
      <c r="A28" s="5" t="n"/>
      <c r="B28" s="6" t="n"/>
      <c r="C28" s="6" t="n"/>
      <c r="D28" s="7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7">
        <f>IFERROR(D28/COUNTIF(E28:P28,TRUE),0)</f>
        <v/>
      </c>
    </row>
    <row r="29">
      <c r="A29" s="5" t="n"/>
      <c r="B29" s="6" t="n"/>
      <c r="C29" s="6" t="n"/>
      <c r="D29" s="7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7">
        <f>IFERROR(D29/COUNTIF(E29:P29,TRUE),0)</f>
        <v/>
      </c>
    </row>
    <row r="30">
      <c r="A30" s="5" t="n"/>
      <c r="B30" s="6" t="n"/>
      <c r="C30" s="6" t="n"/>
      <c r="D30" s="7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7">
        <f>IFERROR(D30/COUNTIF(E30:P30,TRUE),0)</f>
        <v/>
      </c>
    </row>
    <row r="31">
      <c r="A31" s="5" t="n"/>
      <c r="B31" s="6" t="n"/>
      <c r="C31" s="6" t="n"/>
      <c r="D31" s="7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7">
        <f>IFERROR(D31/COUNTIF(E31:P31,TRUE),0)</f>
        <v/>
      </c>
    </row>
    <row r="32">
      <c r="A32" s="5" t="n"/>
      <c r="B32" s="6" t="n"/>
      <c r="C32" s="6" t="n"/>
      <c r="D32" s="7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7">
        <f>IFERROR(D32/COUNTIF(E32:P32,TRUE),0)</f>
        <v/>
      </c>
    </row>
    <row r="33">
      <c r="A33" s="5" t="n"/>
      <c r="B33" s="6" t="n"/>
      <c r="C33" s="6" t="n"/>
      <c r="D33" s="7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7">
        <f>IFERROR(D33/COUNTIF(E33:P33,TRUE),0)</f>
        <v/>
      </c>
    </row>
    <row r="34">
      <c r="A34" s="5" t="n"/>
      <c r="B34" s="6" t="n"/>
      <c r="C34" s="6" t="n"/>
      <c r="D34" s="7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7">
        <f>IFERROR(D34/COUNTIF(E34:P34,TRUE),0)</f>
        <v/>
      </c>
    </row>
    <row r="35">
      <c r="A35" s="5" t="n"/>
      <c r="B35" s="6" t="n"/>
      <c r="C35" s="6" t="n"/>
      <c r="D35" s="7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7">
        <f>IFERROR(D35/COUNTIF(E35:P35,TRUE),0)</f>
        <v/>
      </c>
    </row>
    <row r="36">
      <c r="A36" s="5" t="n"/>
      <c r="B36" s="6" t="n"/>
      <c r="C36" s="6" t="n"/>
      <c r="D36" s="7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7">
        <f>IFERROR(D36/COUNTIF(E36:P36,TRUE),0)</f>
        <v/>
      </c>
    </row>
    <row r="37">
      <c r="A37" s="5" t="n"/>
      <c r="B37" s="6" t="n"/>
      <c r="C37" s="6" t="n"/>
      <c r="D37" s="7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7">
        <f>IFERROR(D37/COUNTIF(E37:P37,TRUE),0)</f>
        <v/>
      </c>
    </row>
    <row r="38">
      <c r="A38" s="5" t="n"/>
      <c r="B38" s="6" t="n"/>
      <c r="C38" s="6" t="n"/>
      <c r="D38" s="7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7">
        <f>IFERROR(D38/COUNTIF(E38:P38,TRUE),0)</f>
        <v/>
      </c>
    </row>
    <row r="39">
      <c r="A39" s="5" t="n"/>
      <c r="B39" s="6" t="n"/>
      <c r="C39" s="6" t="n"/>
      <c r="D39" s="7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7">
        <f>IFERROR(D39/COUNTIF(E39:P39,TRUE),0)</f>
        <v/>
      </c>
    </row>
    <row r="40">
      <c r="A40" s="5" t="n"/>
      <c r="B40" s="6" t="n"/>
      <c r="C40" s="6" t="n"/>
      <c r="D40" s="7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7">
        <f>IFERROR(D40/COUNTIF(E40:P40,TRUE),0)</f>
        <v/>
      </c>
    </row>
    <row r="41">
      <c r="A41" s="5" t="n"/>
      <c r="B41" s="6" t="n"/>
      <c r="C41" s="6" t="n"/>
      <c r="D41" s="7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7">
        <f>IFERROR(D41/COUNTIF(E41:P41,TRUE),0)</f>
        <v/>
      </c>
    </row>
    <row r="42">
      <c r="A42" s="5" t="n"/>
      <c r="B42" s="6" t="n"/>
      <c r="C42" s="6" t="n"/>
      <c r="D42" s="7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7">
        <f>IFERROR(D42/COUNTIF(E42:P42,TRUE),0)</f>
        <v/>
      </c>
    </row>
    <row r="43">
      <c r="A43" s="5" t="n"/>
      <c r="B43" s="6" t="n"/>
      <c r="C43" s="6" t="n"/>
      <c r="D43" s="7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7">
        <f>IFERROR(D43/COUNTIF(E43:P43,TRUE),0)</f>
        <v/>
      </c>
    </row>
    <row r="44">
      <c r="A44" s="5" t="n"/>
      <c r="B44" s="6" t="n"/>
      <c r="C44" s="6" t="n"/>
      <c r="D44" s="7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7">
        <f>IFERROR(D44/COUNTIF(E44:P44,TRUE),0)</f>
        <v/>
      </c>
    </row>
    <row r="45">
      <c r="A45" s="5" t="n"/>
      <c r="B45" s="6" t="n"/>
      <c r="C45" s="6" t="n"/>
      <c r="D45" s="7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7">
        <f>IFERROR(D45/COUNTIF(E45:P45,TRUE),0)</f>
        <v/>
      </c>
    </row>
    <row r="46">
      <c r="A46" s="5" t="n"/>
      <c r="B46" s="6" t="n"/>
      <c r="C46" s="6" t="n"/>
      <c r="D46" s="7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7">
        <f>IFERROR(D46/COUNTIF(E46:P46,TRUE),0)</f>
        <v/>
      </c>
    </row>
    <row r="47">
      <c r="A47" s="5" t="n"/>
      <c r="B47" s="6" t="n"/>
      <c r="C47" s="6" t="n"/>
      <c r="D47" s="7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7">
        <f>IFERROR(D47/COUNTIF(E47:P47,TRUE),0)</f>
        <v/>
      </c>
    </row>
    <row r="48">
      <c r="A48" s="5" t="n"/>
      <c r="B48" s="6" t="n"/>
      <c r="C48" s="6" t="n"/>
      <c r="D48" s="7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7">
        <f>IFERROR(D48/COUNTIF(E48:P48,TRUE),0)</f>
        <v/>
      </c>
    </row>
    <row r="49">
      <c r="A49" s="5" t="n"/>
      <c r="B49" s="6" t="n"/>
      <c r="C49" s="6" t="n"/>
      <c r="D49" s="7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7">
        <f>IFERROR(D49/COUNTIF(E49:P49,TRUE),0)</f>
        <v/>
      </c>
    </row>
    <row r="50">
      <c r="A50" s="5" t="n"/>
      <c r="B50" s="6" t="n"/>
      <c r="C50" s="6" t="n"/>
      <c r="D50" s="7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7">
        <f>IFERROR(D50/COUNTIF(E50:P50,TRUE),0)</f>
        <v/>
      </c>
    </row>
    <row r="51">
      <c r="A51" s="5" t="n"/>
      <c r="B51" s="6" t="n"/>
      <c r="C51" s="6" t="n"/>
      <c r="D51" s="7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7">
        <f>IFERROR(D51/COUNTIF(E51:P51,TRUE),0)</f>
        <v/>
      </c>
    </row>
    <row r="52">
      <c r="A52" s="5" t="n"/>
      <c r="B52" s="6" t="n"/>
      <c r="C52" s="6" t="n"/>
      <c r="D52" s="7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7">
        <f>IFERROR(D52/COUNTIF(E52:P52,TRUE),0)</f>
        <v/>
      </c>
    </row>
    <row r="53">
      <c r="A53" s="5" t="n"/>
      <c r="B53" s="6" t="n"/>
      <c r="C53" s="6" t="n"/>
      <c r="D53" s="7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7">
        <f>IFERROR(D53/COUNTIF(E53:P53,TRUE),0)</f>
        <v/>
      </c>
    </row>
    <row r="54">
      <c r="A54" s="5" t="n"/>
      <c r="B54" s="6" t="n"/>
      <c r="C54" s="6" t="n"/>
      <c r="D54" s="7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7">
        <f>IFERROR(D54/COUNTIF(E54:P54,TRUE),0)</f>
        <v/>
      </c>
    </row>
    <row r="55">
      <c r="A55" s="5" t="n"/>
      <c r="B55" s="6" t="n"/>
      <c r="C55" s="6" t="n"/>
      <c r="D55" s="7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7">
        <f>IFERROR(D55/COUNTIF(E55:P55,TRUE),0)</f>
        <v/>
      </c>
    </row>
    <row r="56">
      <c r="A56" s="5" t="n"/>
      <c r="B56" s="6" t="n"/>
      <c r="C56" s="6" t="n"/>
      <c r="D56" s="7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7">
        <f>IFERROR(D56/COUNTIF(E56:P56,TRUE),0)</f>
        <v/>
      </c>
    </row>
    <row r="57">
      <c r="A57" s="5" t="n"/>
      <c r="B57" s="6" t="n"/>
      <c r="C57" s="6" t="n"/>
      <c r="D57" s="7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7">
        <f>IFERROR(D57/COUNTIF(E57:P57,TRUE),0)</f>
        <v/>
      </c>
    </row>
    <row r="58">
      <c r="A58" s="5" t="n"/>
      <c r="B58" s="6" t="n"/>
      <c r="C58" s="6" t="n"/>
      <c r="D58" s="7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7">
        <f>IFERROR(D58/COUNTIF(E58:P58,TRUE),0)</f>
        <v/>
      </c>
    </row>
    <row r="59">
      <c r="A59" s="5" t="n"/>
      <c r="B59" s="6" t="n"/>
      <c r="C59" s="6" t="n"/>
      <c r="D59" s="7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7">
        <f>IFERROR(D59/COUNTIF(E59:P59,TRUE),0)</f>
        <v/>
      </c>
    </row>
    <row r="60">
      <c r="A60" s="5" t="n"/>
      <c r="B60" s="6" t="n"/>
      <c r="C60" s="6" t="n"/>
      <c r="D60" s="7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7">
        <f>IFERROR(D60/COUNTIF(E60:P60,TRUE),0)</f>
        <v/>
      </c>
    </row>
    <row r="61">
      <c r="A61" s="5" t="n"/>
      <c r="B61" s="6" t="n"/>
      <c r="C61" s="6" t="n"/>
      <c r="D61" s="7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7">
        <f>IFERROR(D61/COUNTIF(E61:P61,TRUE),0)</f>
        <v/>
      </c>
    </row>
    <row r="62">
      <c r="A62" s="5" t="n"/>
      <c r="B62" s="6" t="n"/>
      <c r="C62" s="6" t="n"/>
      <c r="D62" s="7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7">
        <f>IFERROR(D62/COUNTIF(E62:P62,TRUE),0)</f>
        <v/>
      </c>
    </row>
    <row r="63">
      <c r="A63" s="5" t="n"/>
      <c r="B63" s="6" t="n"/>
      <c r="C63" s="6" t="n"/>
      <c r="D63" s="7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7">
        <f>IFERROR(D63/COUNTIF(E63:P63,TRUE),0)</f>
        <v/>
      </c>
    </row>
    <row r="64">
      <c r="A64" s="5" t="n"/>
      <c r="B64" s="6" t="n"/>
      <c r="C64" s="6" t="n"/>
      <c r="D64" s="7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7">
        <f>IFERROR(D64/COUNTIF(E64:P64,TRUE),0)</f>
        <v/>
      </c>
    </row>
    <row r="65">
      <c r="A65" s="5" t="n"/>
      <c r="B65" s="6" t="n"/>
      <c r="C65" s="6" t="n"/>
      <c r="D65" s="7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7">
        <f>IFERROR(D65/COUNTIF(E65:P65,TRUE),0)</f>
        <v/>
      </c>
    </row>
    <row r="66">
      <c r="A66" s="5" t="n"/>
      <c r="B66" s="6" t="n"/>
      <c r="C66" s="6" t="n"/>
      <c r="D66" s="7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7">
        <f>IFERROR(D66/COUNTIF(E66:P66,TRUE),0)</f>
        <v/>
      </c>
    </row>
    <row r="67">
      <c r="A67" s="5" t="n"/>
      <c r="B67" s="6" t="n"/>
      <c r="C67" s="6" t="n"/>
      <c r="D67" s="7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7">
        <f>IFERROR(D67/COUNTIF(E67:P67,TRUE),0)</f>
        <v/>
      </c>
    </row>
    <row r="68">
      <c r="A68" s="5" t="n"/>
      <c r="B68" s="6" t="n"/>
      <c r="C68" s="6" t="n"/>
      <c r="D68" s="7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7">
        <f>IFERROR(D68/COUNTIF(E68:P68,TRUE),0)</f>
        <v/>
      </c>
    </row>
    <row r="69">
      <c r="A69" s="5" t="n"/>
      <c r="B69" s="6" t="n"/>
      <c r="C69" s="6" t="n"/>
      <c r="D69" s="7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7">
        <f>IFERROR(D69/COUNTIF(E69:P69,TRUE),0)</f>
        <v/>
      </c>
    </row>
    <row r="70">
      <c r="A70" s="5" t="n"/>
      <c r="B70" s="6" t="n"/>
      <c r="C70" s="6" t="n"/>
      <c r="D70" s="7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7">
        <f>IFERROR(D70/COUNTIF(E70:P70,TRUE),0)</f>
        <v/>
      </c>
    </row>
    <row r="71">
      <c r="A71" s="5" t="n"/>
      <c r="B71" s="6" t="n"/>
      <c r="C71" s="6" t="n"/>
      <c r="D71" s="7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7">
        <f>IFERROR(D71/COUNTIF(E71:P71,TRUE),0)</f>
        <v/>
      </c>
    </row>
    <row r="72">
      <c r="A72" s="5" t="n"/>
      <c r="B72" s="6" t="n"/>
      <c r="C72" s="6" t="n"/>
      <c r="D72" s="7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7">
        <f>IFERROR(D72/COUNTIF(E72:P72,TRUE),0)</f>
        <v/>
      </c>
    </row>
    <row r="73">
      <c r="A73" s="5" t="n"/>
      <c r="B73" s="6" t="n"/>
      <c r="C73" s="6" t="n"/>
      <c r="D73" s="7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7">
        <f>IFERROR(D73/COUNTIF(E73:P73,TRUE),0)</f>
        <v/>
      </c>
    </row>
    <row r="74">
      <c r="A74" s="5" t="n"/>
      <c r="B74" s="6" t="n"/>
      <c r="C74" s="6" t="n"/>
      <c r="D74" s="7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7">
        <f>IFERROR(D74/COUNTIF(E74:P74,TRUE),0)</f>
        <v/>
      </c>
    </row>
    <row r="75">
      <c r="A75" s="5" t="n"/>
      <c r="B75" s="6" t="n"/>
      <c r="C75" s="6" t="n"/>
      <c r="D75" s="7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7">
        <f>IFERROR(D75/COUNTIF(E75:P75,TRUE),0)</f>
        <v/>
      </c>
    </row>
    <row r="76">
      <c r="A76" s="5" t="n"/>
      <c r="B76" s="6" t="n"/>
      <c r="C76" s="6" t="n"/>
      <c r="D76" s="7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7">
        <f>IFERROR(D76/COUNTIF(E76:P76,TRUE),0)</f>
        <v/>
      </c>
    </row>
    <row r="77">
      <c r="A77" s="5" t="n"/>
      <c r="B77" s="6" t="n"/>
      <c r="C77" s="6" t="n"/>
      <c r="D77" s="7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7">
        <f>IFERROR(D77/COUNTIF(E77:P77,TRUE),0)</f>
        <v/>
      </c>
    </row>
    <row r="78">
      <c r="A78" s="5" t="n"/>
      <c r="B78" s="6" t="n"/>
      <c r="C78" s="6" t="n"/>
      <c r="D78" s="7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7">
        <f>IFERROR(D78/COUNTIF(E78:P78,TRUE),0)</f>
        <v/>
      </c>
    </row>
    <row r="79">
      <c r="A79" s="5" t="n"/>
      <c r="B79" s="6" t="n"/>
      <c r="C79" s="6" t="n"/>
      <c r="D79" s="7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7">
        <f>IFERROR(D79/COUNTIF(E79:P79,TRUE),0)</f>
        <v/>
      </c>
    </row>
    <row r="80">
      <c r="A80" s="5" t="n"/>
      <c r="B80" s="6" t="n"/>
      <c r="C80" s="6" t="n"/>
      <c r="D80" s="7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7">
        <f>IFERROR(D80/COUNTIF(E80:P80,TRUE),0)</f>
        <v/>
      </c>
    </row>
    <row r="81">
      <c r="A81" s="5" t="n"/>
      <c r="B81" s="6" t="n"/>
      <c r="C81" s="6" t="n"/>
      <c r="D81" s="7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7">
        <f>IFERROR(D81/COUNTIF(E81:P81,TRUE),0)</f>
        <v/>
      </c>
    </row>
    <row r="82">
      <c r="A82" s="5" t="n"/>
      <c r="B82" s="6" t="n"/>
      <c r="C82" s="6" t="n"/>
      <c r="D82" s="7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7">
        <f>IFERROR(D82/COUNTIF(E82:P82,TRUE),0)</f>
        <v/>
      </c>
    </row>
    <row r="83">
      <c r="A83" s="5" t="n"/>
      <c r="B83" s="6" t="n"/>
      <c r="C83" s="6" t="n"/>
      <c r="D83" s="7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7">
        <f>IFERROR(D83/COUNTIF(E83:P83,TRUE),0)</f>
        <v/>
      </c>
    </row>
    <row r="84">
      <c r="A84" s="5" t="n"/>
      <c r="B84" s="6" t="n"/>
      <c r="C84" s="6" t="n"/>
      <c r="D84" s="7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7">
        <f>IFERROR(D84/COUNTIF(E84:P84,TRUE),0)</f>
        <v/>
      </c>
    </row>
    <row r="85">
      <c r="A85" s="5" t="n"/>
      <c r="B85" s="6" t="n"/>
      <c r="C85" s="6" t="n"/>
      <c r="D85" s="7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7">
        <f>IFERROR(D85/COUNTIF(E85:P85,TRUE),0)</f>
        <v/>
      </c>
    </row>
    <row r="86">
      <c r="A86" s="5" t="n"/>
      <c r="B86" s="6" t="n"/>
      <c r="C86" s="6" t="n"/>
      <c r="D86" s="7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7">
        <f>IFERROR(D86/COUNTIF(E86:P86,TRUE),0)</f>
        <v/>
      </c>
    </row>
    <row r="87">
      <c r="A87" s="5" t="n"/>
      <c r="B87" s="6" t="n"/>
      <c r="C87" s="6" t="n"/>
      <c r="D87" s="7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7">
        <f>IFERROR(D87/COUNTIF(E87:P87,TRUE),0)</f>
        <v/>
      </c>
    </row>
    <row r="88">
      <c r="A88" s="5" t="n"/>
      <c r="B88" s="6" t="n"/>
      <c r="C88" s="6" t="n"/>
      <c r="D88" s="7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7">
        <f>IFERROR(D88/COUNTIF(E88:P88,TRUE),0)</f>
        <v/>
      </c>
    </row>
    <row r="89">
      <c r="A89" s="5" t="n"/>
      <c r="B89" s="6" t="n"/>
      <c r="C89" s="6" t="n"/>
      <c r="D89" s="7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7">
        <f>IFERROR(D89/COUNTIF(E89:P89,TRUE),0)</f>
        <v/>
      </c>
    </row>
    <row r="90">
      <c r="A90" s="5" t="n"/>
      <c r="B90" s="6" t="n"/>
      <c r="C90" s="6" t="n"/>
      <c r="D90" s="7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7">
        <f>IFERROR(D90/COUNTIF(E90:P90,TRUE),0)</f>
        <v/>
      </c>
    </row>
    <row r="91">
      <c r="A91" s="5" t="n"/>
      <c r="B91" s="6" t="n"/>
      <c r="C91" s="6" t="n"/>
      <c r="D91" s="7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7">
        <f>IFERROR(D91/COUNTIF(E91:P91,TRUE),0)</f>
        <v/>
      </c>
    </row>
    <row r="92">
      <c r="A92" s="5" t="n"/>
      <c r="B92" s="6" t="n"/>
      <c r="C92" s="6" t="n"/>
      <c r="D92" s="7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7">
        <f>IFERROR(D92/COUNTIF(E92:P92,TRUE),0)</f>
        <v/>
      </c>
    </row>
    <row r="93">
      <c r="A93" s="5" t="n"/>
      <c r="B93" s="6" t="n"/>
      <c r="C93" s="6" t="n"/>
      <c r="D93" s="7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7">
        <f>IFERROR(D93/COUNTIF(E93:P93,TRUE),0)</f>
        <v/>
      </c>
    </row>
    <row r="94">
      <c r="A94" s="5" t="n"/>
      <c r="B94" s="6" t="n"/>
      <c r="C94" s="6" t="n"/>
      <c r="D94" s="7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7">
        <f>IFERROR(D94/COUNTIF(E94:P94,TRUE),0)</f>
        <v/>
      </c>
    </row>
    <row r="95">
      <c r="A95" s="5" t="n"/>
      <c r="B95" s="6" t="n"/>
      <c r="C95" s="6" t="n"/>
      <c r="D95" s="7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7">
        <f>IFERROR(D95/COUNTIF(E95:P95,TRUE),0)</f>
        <v/>
      </c>
    </row>
    <row r="96">
      <c r="A96" s="5" t="n"/>
      <c r="B96" s="6" t="n"/>
      <c r="C96" s="6" t="n"/>
      <c r="D96" s="7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7">
        <f>IFERROR(D96/COUNTIF(E96:P96,TRUE),0)</f>
        <v/>
      </c>
    </row>
    <row r="97">
      <c r="A97" s="5" t="n"/>
      <c r="B97" s="6" t="n"/>
      <c r="C97" s="6" t="n"/>
      <c r="D97" s="7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7">
        <f>IFERROR(D97/COUNTIF(E97:P97,TRUE),0)</f>
        <v/>
      </c>
    </row>
    <row r="98">
      <c r="A98" s="5" t="n"/>
      <c r="B98" s="6" t="n"/>
      <c r="C98" s="6" t="n"/>
      <c r="D98" s="7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7">
        <f>IFERROR(D98/COUNTIF(E98:P98,TRUE),0)</f>
        <v/>
      </c>
    </row>
    <row r="99">
      <c r="A99" s="5" t="n"/>
      <c r="B99" s="6" t="n"/>
      <c r="C99" s="6" t="n"/>
      <c r="D99" s="7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7">
        <f>IFERROR(D99/COUNTIF(E99:P99,TRUE),0)</f>
        <v/>
      </c>
    </row>
    <row r="100">
      <c r="A100" s="5" t="n"/>
      <c r="B100" s="6" t="n"/>
      <c r="C100" s="6" t="n"/>
      <c r="D100" s="7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7">
        <f>IFERROR(D100/COUNTIF(E100:P100,TRUE),0)</f>
        <v/>
      </c>
    </row>
    <row r="101">
      <c r="A101" s="5" t="n"/>
      <c r="B101" s="6" t="n"/>
      <c r="C101" s="6" t="n"/>
      <c r="D101" s="7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7">
        <f>IFERROR(D101/COUNTIF(E101:P101,TRUE),0)</f>
        <v/>
      </c>
    </row>
  </sheetData>
  <autoFilter ref="A1:Q101"/>
  <dataValidations count="2">
    <dataValidation sqref="C2:C101" showDropDown="0" showInputMessage="1" showErrorMessage="1" allowBlank="1" error="Pick a traveler from the People sheet." prompt="Who paid for this expense?" type="list">
      <formula1>Travelers</formula1>
    </dataValidation>
    <dataValidation sqref="E2:P101" showDropDown="0" showInputMessage="1" showErrorMessage="0" allowBlank="1" prompt="TRUE = this traveler shares the expense.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8" customWidth="1" min="4" max="4"/>
  </cols>
  <sheetData>
    <row r="1" ht="30" customHeight="1">
      <c r="A1" s="4" t="inlineStr">
        <is>
          <t>Person</t>
        </is>
      </c>
      <c r="B1" s="4" t="inlineStr">
        <is>
          <t>Total Paid</t>
        </is>
      </c>
      <c r="C1" s="4" t="inlineStr">
        <is>
          <t>Total Share Owed</t>
        </is>
      </c>
      <c r="D1" s="4" t="inlineStr">
        <is>
          <t>Net (Paid − Owed)</t>
        </is>
      </c>
    </row>
    <row r="2">
      <c r="A2" s="6">
        <f>People!$A$10</f>
        <v/>
      </c>
      <c r="B2" s="7">
        <f>SUMIF(Expenses!$C$2:$C$101,$A2,Expenses!$D$2:$D$101)</f>
        <v/>
      </c>
      <c r="C2" s="7">
        <f>SUMIF(Expenses!$E$2:$E$101,TRUE,Expenses!$Q$2:$Q$101)</f>
        <v/>
      </c>
      <c r="D2" s="7">
        <f>B2-C2</f>
        <v/>
      </c>
    </row>
    <row r="3">
      <c r="A3" s="6">
        <f>People!$A$11</f>
        <v/>
      </c>
      <c r="B3" s="7">
        <f>SUMIF(Expenses!$C$2:$C$101,$A3,Expenses!$D$2:$D$101)</f>
        <v/>
      </c>
      <c r="C3" s="7">
        <f>SUMIF(Expenses!$F$2:$F$101,TRUE,Expenses!$Q$2:$Q$101)</f>
        <v/>
      </c>
      <c r="D3" s="7">
        <f>B3-C3</f>
        <v/>
      </c>
    </row>
    <row r="4">
      <c r="A4" s="6">
        <f>People!$A$12</f>
        <v/>
      </c>
      <c r="B4" s="7">
        <f>SUMIF(Expenses!$C$2:$C$101,$A4,Expenses!$D$2:$D$101)</f>
        <v/>
      </c>
      <c r="C4" s="7">
        <f>SUMIF(Expenses!$G$2:$G$101,TRUE,Expenses!$Q$2:$Q$101)</f>
        <v/>
      </c>
      <c r="D4" s="7">
        <f>B4-C4</f>
        <v/>
      </c>
    </row>
    <row r="5">
      <c r="A5" s="6">
        <f>People!$A$13</f>
        <v/>
      </c>
      <c r="B5" s="7">
        <f>SUMIF(Expenses!$C$2:$C$101,$A5,Expenses!$D$2:$D$101)</f>
        <v/>
      </c>
      <c r="C5" s="7">
        <f>SUMIF(Expenses!$H$2:$H$101,TRUE,Expenses!$Q$2:$Q$101)</f>
        <v/>
      </c>
      <c r="D5" s="7">
        <f>B5-C5</f>
        <v/>
      </c>
    </row>
    <row r="6">
      <c r="A6" s="6">
        <f>People!$A$14</f>
        <v/>
      </c>
      <c r="B6" s="7">
        <f>SUMIF(Expenses!$C$2:$C$101,$A6,Expenses!$D$2:$D$101)</f>
        <v/>
      </c>
      <c r="C6" s="7">
        <f>SUMIF(Expenses!$I$2:$I$101,TRUE,Expenses!$Q$2:$Q$101)</f>
        <v/>
      </c>
      <c r="D6" s="7">
        <f>B6-C6</f>
        <v/>
      </c>
    </row>
    <row r="7">
      <c r="A7" s="6">
        <f>People!$A$15</f>
        <v/>
      </c>
      <c r="B7" s="7">
        <f>SUMIF(Expenses!$C$2:$C$101,$A7,Expenses!$D$2:$D$101)</f>
        <v/>
      </c>
      <c r="C7" s="7">
        <f>SUMIF(Expenses!$J$2:$J$101,TRUE,Expenses!$Q$2:$Q$101)</f>
        <v/>
      </c>
      <c r="D7" s="7">
        <f>B7-C7</f>
        <v/>
      </c>
    </row>
    <row r="8">
      <c r="A8" s="6">
        <f>People!$A$16</f>
        <v/>
      </c>
      <c r="B8" s="7">
        <f>SUMIF(Expenses!$C$2:$C$101,$A8,Expenses!$D$2:$D$101)</f>
        <v/>
      </c>
      <c r="C8" s="7">
        <f>SUMIF(Expenses!$K$2:$K$101,TRUE,Expenses!$Q$2:$Q$101)</f>
        <v/>
      </c>
      <c r="D8" s="7">
        <f>B8-C8</f>
        <v/>
      </c>
    </row>
    <row r="9">
      <c r="A9" s="6">
        <f>People!$A$17</f>
        <v/>
      </c>
      <c r="B9" s="7">
        <f>SUMIF(Expenses!$C$2:$C$101,$A9,Expenses!$D$2:$D$101)</f>
        <v/>
      </c>
      <c r="C9" s="7">
        <f>SUMIF(Expenses!$L$2:$L$101,TRUE,Expenses!$Q$2:$Q$101)</f>
        <v/>
      </c>
      <c r="D9" s="7">
        <f>B9-C9</f>
        <v/>
      </c>
    </row>
    <row r="10">
      <c r="A10" s="6">
        <f>People!$A$18</f>
        <v/>
      </c>
      <c r="B10" s="7">
        <f>SUMIF(Expenses!$C$2:$C$101,$A10,Expenses!$D$2:$D$101)</f>
        <v/>
      </c>
      <c r="C10" s="7">
        <f>SUMIF(Expenses!$M$2:$M$101,TRUE,Expenses!$Q$2:$Q$101)</f>
        <v/>
      </c>
      <c r="D10" s="7">
        <f>B10-C10</f>
        <v/>
      </c>
    </row>
    <row r="11">
      <c r="A11" s="6">
        <f>People!$A$19</f>
        <v/>
      </c>
      <c r="B11" s="7">
        <f>SUMIF(Expenses!$C$2:$C$101,$A11,Expenses!$D$2:$D$101)</f>
        <v/>
      </c>
      <c r="C11" s="7">
        <f>SUMIF(Expenses!$N$2:$N$101,TRUE,Expenses!$Q$2:$Q$101)</f>
        <v/>
      </c>
      <c r="D11" s="7">
        <f>B11-C11</f>
        <v/>
      </c>
    </row>
    <row r="12">
      <c r="A12" s="6">
        <f>People!$A$20</f>
        <v/>
      </c>
      <c r="B12" s="7">
        <f>SUMIF(Expenses!$C$2:$C$101,$A12,Expenses!$D$2:$D$101)</f>
        <v/>
      </c>
      <c r="C12" s="7">
        <f>SUMIF(Expenses!$O$2:$O$101,TRUE,Expenses!$Q$2:$Q$101)</f>
        <v/>
      </c>
      <c r="D12" s="7">
        <f>B12-C12</f>
        <v/>
      </c>
    </row>
    <row r="13">
      <c r="A13" s="6">
        <f>People!$A$21</f>
        <v/>
      </c>
      <c r="B13" s="7">
        <f>SUMIF(Expenses!$C$2:$C$101,$A13,Expenses!$D$2:$D$101)</f>
        <v/>
      </c>
      <c r="C13" s="7">
        <f>SUMIF(Expenses!$P$2:$P$101,TRUE,Expenses!$Q$2:$Q$101)</f>
        <v/>
      </c>
      <c r="D13" s="7">
        <f>B13-C13</f>
        <v/>
      </c>
    </row>
    <row r="15">
      <c r="A15" s="2" t="inlineStr">
        <is>
          <t>CHECK (Net must sum to 0)</t>
        </is>
      </c>
      <c r="D15" s="8">
        <f>SUM(D2:D13)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2" customWidth="1" min="4" max="4"/>
    <col width="16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Who pays whom (fewest transfers)</t>
        </is>
      </c>
    </row>
    <row r="2">
      <c r="A2" s="9" t="inlineStr">
        <is>
          <t>Greedy settlement: each step matches the person who owes the most with the person who is owed the most. Clearing one person per step means at most 11 transfers for 12 travelers.</t>
        </is>
      </c>
    </row>
    <row r="4">
      <c r="A4" s="10" t="inlineStr">
        <is>
          <t>Step</t>
        </is>
      </c>
      <c r="B4" s="10" t="inlineStr">
        <is>
          <t>From (pays)</t>
        </is>
      </c>
      <c r="C4" s="10" t="inlineStr">
        <is>
          <t>To (receives)</t>
        </is>
      </c>
      <c r="D4" s="10" t="inlineStr">
        <is>
          <t>Amount</t>
        </is>
      </c>
      <c r="F4" s="11" t="inlineStr">
        <is>
          <t>Person</t>
        </is>
      </c>
      <c r="G4" s="11" t="inlineStr">
        <is>
          <t>Net balance</t>
        </is>
      </c>
      <c r="H4" s="12" t="inlineStr">
        <is>
          <t>After step 1</t>
        </is>
      </c>
      <c r="I4" s="12" t="inlineStr">
        <is>
          <t>After step 2</t>
        </is>
      </c>
      <c r="J4" s="12" t="inlineStr">
        <is>
          <t>After step 3</t>
        </is>
      </c>
      <c r="K4" s="12" t="inlineStr">
        <is>
          <t>After step 4</t>
        </is>
      </c>
      <c r="L4" s="12" t="inlineStr">
        <is>
          <t>After step 5</t>
        </is>
      </c>
      <c r="M4" s="12" t="inlineStr">
        <is>
          <t>After step 6</t>
        </is>
      </c>
      <c r="N4" s="12" t="inlineStr">
        <is>
          <t>After step 7</t>
        </is>
      </c>
      <c r="O4" s="12" t="inlineStr">
        <is>
          <t>After step 8</t>
        </is>
      </c>
      <c r="P4" s="12" t="inlineStr">
        <is>
          <t>After step 9</t>
        </is>
      </c>
      <c r="Q4" s="12" t="inlineStr">
        <is>
          <t>After step 10</t>
        </is>
      </c>
      <c r="R4" s="12" t="inlineStr">
        <is>
          <t>After step 11</t>
        </is>
      </c>
    </row>
    <row r="5">
      <c r="A5" s="6" t="n">
        <v>1</v>
      </c>
      <c r="B5" s="6">
        <f>IF($D$5&gt;0.005,INDEX($F$5:$F$16,MATCH(MIN($G$5:$G$16),$G$5:$G$16,0)),"")</f>
        <v/>
      </c>
      <c r="C5" s="6">
        <f>IF($D$5&gt;0.005,INDEX($F$5:$F$16,MATCH(MAX($G$5:$G$16),$G$5:$G$16,0)),"")</f>
        <v/>
      </c>
      <c r="D5" s="7">
        <f>IF(AND(MIN($G$5:$G$16)&lt;-0.005,MAX($G$5:$G$16)&gt;0.005),MIN(-MIN($G$5:$G$16),MAX($G$5:$G$16)),0)</f>
        <v/>
      </c>
      <c r="F5" s="6">
        <f>Balances!$A$2</f>
        <v/>
      </c>
      <c r="G5" s="8">
        <f>ROUND(Balances!$D$2,2)</f>
        <v/>
      </c>
      <c r="H5" s="8">
        <f>ROUND($G$5+IF($B$5=$F$5,$D$5,0)-IF($C$5=$F$5,$D$5,0),2)</f>
        <v/>
      </c>
      <c r="I5" s="8">
        <f>ROUND($H$5+IF($B$6=$F$5,$D$6,0)-IF($C$6=$F$5,$D$6,0),2)</f>
        <v/>
      </c>
      <c r="J5" s="8">
        <f>ROUND($I$5+IF($B$7=$F$5,$D$7,0)-IF($C$7=$F$5,$D$7,0),2)</f>
        <v/>
      </c>
      <c r="K5" s="8">
        <f>ROUND($J$5+IF($B$8=$F$5,$D$8,0)-IF($C$8=$F$5,$D$8,0),2)</f>
        <v/>
      </c>
      <c r="L5" s="8">
        <f>ROUND($K$5+IF($B$9=$F$5,$D$9,0)-IF($C$9=$F$5,$D$9,0),2)</f>
        <v/>
      </c>
      <c r="M5" s="8">
        <f>ROUND($L$5+IF($B$10=$F$5,$D$10,0)-IF($C$10=$F$5,$D$10,0),2)</f>
        <v/>
      </c>
      <c r="N5" s="8">
        <f>ROUND($M$5+IF($B$11=$F$5,$D$11,0)-IF($C$11=$F$5,$D$11,0),2)</f>
        <v/>
      </c>
      <c r="O5" s="8">
        <f>ROUND($N$5+IF($B$12=$F$5,$D$12,0)-IF($C$12=$F$5,$D$12,0),2)</f>
        <v/>
      </c>
      <c r="P5" s="8">
        <f>ROUND($O$5+IF($B$13=$F$5,$D$13,0)-IF($C$13=$F$5,$D$13,0),2)</f>
        <v/>
      </c>
      <c r="Q5" s="8">
        <f>ROUND($P$5+IF($B$14=$F$5,$D$14,0)-IF($C$14=$F$5,$D$14,0),2)</f>
        <v/>
      </c>
      <c r="R5" s="8">
        <f>ROUND($Q$5+IF($B$15=$F$5,$D$15,0)-IF($C$15=$F$5,$D$15,0),2)</f>
        <v/>
      </c>
    </row>
    <row r="6">
      <c r="A6" s="6" t="n">
        <v>2</v>
      </c>
      <c r="B6" s="6">
        <f>IF($D$6&gt;0.005,INDEX($F$5:$F$16,MATCH(MIN($H$5:$H$16),$H$5:$H$16,0)),"")</f>
        <v/>
      </c>
      <c r="C6" s="6">
        <f>IF($D$6&gt;0.005,INDEX($F$5:$F$16,MATCH(MAX($H$5:$H$16),$H$5:$H$16,0)),"")</f>
        <v/>
      </c>
      <c r="D6" s="7">
        <f>IF(AND(MIN($H$5:$H$16)&lt;-0.005,MAX($H$5:$H$16)&gt;0.005),MIN(-MIN($H$5:$H$16),MAX($H$5:$H$16)),0)</f>
        <v/>
      </c>
      <c r="F6" s="6">
        <f>Balances!$A$3</f>
        <v/>
      </c>
      <c r="G6" s="8">
        <f>ROUND(Balances!$D$3,2)</f>
        <v/>
      </c>
      <c r="H6" s="8">
        <f>ROUND($G$6+IF($B$5=$F$6,$D$5,0)-IF($C$5=$F$6,$D$5,0),2)</f>
        <v/>
      </c>
      <c r="I6" s="8">
        <f>ROUND($H$6+IF($B$6=$F$6,$D$6,0)-IF($C$6=$F$6,$D$6,0),2)</f>
        <v/>
      </c>
      <c r="J6" s="8">
        <f>ROUND($I$6+IF($B$7=$F$6,$D$7,0)-IF($C$7=$F$6,$D$7,0),2)</f>
        <v/>
      </c>
      <c r="K6" s="8">
        <f>ROUND($J$6+IF($B$8=$F$6,$D$8,0)-IF($C$8=$F$6,$D$8,0),2)</f>
        <v/>
      </c>
      <c r="L6" s="8">
        <f>ROUND($K$6+IF($B$9=$F$6,$D$9,0)-IF($C$9=$F$6,$D$9,0),2)</f>
        <v/>
      </c>
      <c r="M6" s="8">
        <f>ROUND($L$6+IF($B$10=$F$6,$D$10,0)-IF($C$10=$F$6,$D$10,0),2)</f>
        <v/>
      </c>
      <c r="N6" s="8">
        <f>ROUND($M$6+IF($B$11=$F$6,$D$11,0)-IF($C$11=$F$6,$D$11,0),2)</f>
        <v/>
      </c>
      <c r="O6" s="8">
        <f>ROUND($N$6+IF($B$12=$F$6,$D$12,0)-IF($C$12=$F$6,$D$12,0),2)</f>
        <v/>
      </c>
      <c r="P6" s="8">
        <f>ROUND($O$6+IF($B$13=$F$6,$D$13,0)-IF($C$13=$F$6,$D$13,0),2)</f>
        <v/>
      </c>
      <c r="Q6" s="8">
        <f>ROUND($P$6+IF($B$14=$F$6,$D$14,0)-IF($C$14=$F$6,$D$14,0),2)</f>
        <v/>
      </c>
      <c r="R6" s="8">
        <f>ROUND($Q$6+IF($B$15=$F$6,$D$15,0)-IF($C$15=$F$6,$D$15,0),2)</f>
        <v/>
      </c>
    </row>
    <row r="7">
      <c r="A7" s="6" t="n">
        <v>3</v>
      </c>
      <c r="B7" s="6">
        <f>IF($D$7&gt;0.005,INDEX($F$5:$F$16,MATCH(MIN($I$5:$I$16),$I$5:$I$16,0)),"")</f>
        <v/>
      </c>
      <c r="C7" s="6">
        <f>IF($D$7&gt;0.005,INDEX($F$5:$F$16,MATCH(MAX($I$5:$I$16),$I$5:$I$16,0)),"")</f>
        <v/>
      </c>
      <c r="D7" s="7">
        <f>IF(AND(MIN($I$5:$I$16)&lt;-0.005,MAX($I$5:$I$16)&gt;0.005),MIN(-MIN($I$5:$I$16),MAX($I$5:$I$16)),0)</f>
        <v/>
      </c>
      <c r="F7" s="6">
        <f>Balances!$A$4</f>
        <v/>
      </c>
      <c r="G7" s="8">
        <f>ROUND(Balances!$D$4,2)</f>
        <v/>
      </c>
      <c r="H7" s="8">
        <f>ROUND($G$7+IF($B$5=$F$7,$D$5,0)-IF($C$5=$F$7,$D$5,0),2)</f>
        <v/>
      </c>
      <c r="I7" s="8">
        <f>ROUND($H$7+IF($B$6=$F$7,$D$6,0)-IF($C$6=$F$7,$D$6,0),2)</f>
        <v/>
      </c>
      <c r="J7" s="8">
        <f>ROUND($I$7+IF($B$7=$F$7,$D$7,0)-IF($C$7=$F$7,$D$7,0),2)</f>
        <v/>
      </c>
      <c r="K7" s="8">
        <f>ROUND($J$7+IF($B$8=$F$7,$D$8,0)-IF($C$8=$F$7,$D$8,0),2)</f>
        <v/>
      </c>
      <c r="L7" s="8">
        <f>ROUND($K$7+IF($B$9=$F$7,$D$9,0)-IF($C$9=$F$7,$D$9,0),2)</f>
        <v/>
      </c>
      <c r="M7" s="8">
        <f>ROUND($L$7+IF($B$10=$F$7,$D$10,0)-IF($C$10=$F$7,$D$10,0),2)</f>
        <v/>
      </c>
      <c r="N7" s="8">
        <f>ROUND($M$7+IF($B$11=$F$7,$D$11,0)-IF($C$11=$F$7,$D$11,0),2)</f>
        <v/>
      </c>
      <c r="O7" s="8">
        <f>ROUND($N$7+IF($B$12=$F$7,$D$12,0)-IF($C$12=$F$7,$D$12,0),2)</f>
        <v/>
      </c>
      <c r="P7" s="8">
        <f>ROUND($O$7+IF($B$13=$F$7,$D$13,0)-IF($C$13=$F$7,$D$13,0),2)</f>
        <v/>
      </c>
      <c r="Q7" s="8">
        <f>ROUND($P$7+IF($B$14=$F$7,$D$14,0)-IF($C$14=$F$7,$D$14,0),2)</f>
        <v/>
      </c>
      <c r="R7" s="8">
        <f>ROUND($Q$7+IF($B$15=$F$7,$D$15,0)-IF($C$15=$F$7,$D$15,0),2)</f>
        <v/>
      </c>
    </row>
    <row r="8">
      <c r="A8" s="6" t="n">
        <v>4</v>
      </c>
      <c r="B8" s="6">
        <f>IF($D$8&gt;0.005,INDEX($F$5:$F$16,MATCH(MIN($J$5:$J$16),$J$5:$J$16,0)),"")</f>
        <v/>
      </c>
      <c r="C8" s="6">
        <f>IF($D$8&gt;0.005,INDEX($F$5:$F$16,MATCH(MAX($J$5:$J$16),$J$5:$J$16,0)),"")</f>
        <v/>
      </c>
      <c r="D8" s="7">
        <f>IF(AND(MIN($J$5:$J$16)&lt;-0.005,MAX($J$5:$J$16)&gt;0.005),MIN(-MIN($J$5:$J$16),MAX($J$5:$J$16)),0)</f>
        <v/>
      </c>
      <c r="F8" s="6">
        <f>Balances!$A$5</f>
        <v/>
      </c>
      <c r="G8" s="8">
        <f>ROUND(Balances!$D$5,2)</f>
        <v/>
      </c>
      <c r="H8" s="8">
        <f>ROUND($G$8+IF($B$5=$F$8,$D$5,0)-IF($C$5=$F$8,$D$5,0),2)</f>
        <v/>
      </c>
      <c r="I8" s="8">
        <f>ROUND($H$8+IF($B$6=$F$8,$D$6,0)-IF($C$6=$F$8,$D$6,0),2)</f>
        <v/>
      </c>
      <c r="J8" s="8">
        <f>ROUND($I$8+IF($B$7=$F$8,$D$7,0)-IF($C$7=$F$8,$D$7,0),2)</f>
        <v/>
      </c>
      <c r="K8" s="8">
        <f>ROUND($J$8+IF($B$8=$F$8,$D$8,0)-IF($C$8=$F$8,$D$8,0),2)</f>
        <v/>
      </c>
      <c r="L8" s="8">
        <f>ROUND($K$8+IF($B$9=$F$8,$D$9,0)-IF($C$9=$F$8,$D$9,0),2)</f>
        <v/>
      </c>
      <c r="M8" s="8">
        <f>ROUND($L$8+IF($B$10=$F$8,$D$10,0)-IF($C$10=$F$8,$D$10,0),2)</f>
        <v/>
      </c>
      <c r="N8" s="8">
        <f>ROUND($M$8+IF($B$11=$F$8,$D$11,0)-IF($C$11=$F$8,$D$11,0),2)</f>
        <v/>
      </c>
      <c r="O8" s="8">
        <f>ROUND($N$8+IF($B$12=$F$8,$D$12,0)-IF($C$12=$F$8,$D$12,0),2)</f>
        <v/>
      </c>
      <c r="P8" s="8">
        <f>ROUND($O$8+IF($B$13=$F$8,$D$13,0)-IF($C$13=$F$8,$D$13,0),2)</f>
        <v/>
      </c>
      <c r="Q8" s="8">
        <f>ROUND($P$8+IF($B$14=$F$8,$D$14,0)-IF($C$14=$F$8,$D$14,0),2)</f>
        <v/>
      </c>
      <c r="R8" s="8">
        <f>ROUND($Q$8+IF($B$15=$F$8,$D$15,0)-IF($C$15=$F$8,$D$15,0),2)</f>
        <v/>
      </c>
    </row>
    <row r="9">
      <c r="A9" s="6" t="n">
        <v>5</v>
      </c>
      <c r="B9" s="6">
        <f>IF($D$9&gt;0.005,INDEX($F$5:$F$16,MATCH(MIN($K$5:$K$16),$K$5:$K$16,0)),"")</f>
        <v/>
      </c>
      <c r="C9" s="6">
        <f>IF($D$9&gt;0.005,INDEX($F$5:$F$16,MATCH(MAX($K$5:$K$16),$K$5:$K$16,0)),"")</f>
        <v/>
      </c>
      <c r="D9" s="7">
        <f>IF(AND(MIN($K$5:$K$16)&lt;-0.005,MAX($K$5:$K$16)&gt;0.005),MIN(-MIN($K$5:$K$16),MAX($K$5:$K$16)),0)</f>
        <v/>
      </c>
      <c r="F9" s="6">
        <f>Balances!$A$6</f>
        <v/>
      </c>
      <c r="G9" s="8">
        <f>ROUND(Balances!$D$6,2)</f>
        <v/>
      </c>
      <c r="H9" s="8">
        <f>ROUND($G$9+IF($B$5=$F$9,$D$5,0)-IF($C$5=$F$9,$D$5,0),2)</f>
        <v/>
      </c>
      <c r="I9" s="8">
        <f>ROUND($H$9+IF($B$6=$F$9,$D$6,0)-IF($C$6=$F$9,$D$6,0),2)</f>
        <v/>
      </c>
      <c r="J9" s="8">
        <f>ROUND($I$9+IF($B$7=$F$9,$D$7,0)-IF($C$7=$F$9,$D$7,0),2)</f>
        <v/>
      </c>
      <c r="K9" s="8">
        <f>ROUND($J$9+IF($B$8=$F$9,$D$8,0)-IF($C$8=$F$9,$D$8,0),2)</f>
        <v/>
      </c>
      <c r="L9" s="8">
        <f>ROUND($K$9+IF($B$9=$F$9,$D$9,0)-IF($C$9=$F$9,$D$9,0),2)</f>
        <v/>
      </c>
      <c r="M9" s="8">
        <f>ROUND($L$9+IF($B$10=$F$9,$D$10,0)-IF($C$10=$F$9,$D$10,0),2)</f>
        <v/>
      </c>
      <c r="N9" s="8">
        <f>ROUND($M$9+IF($B$11=$F$9,$D$11,0)-IF($C$11=$F$9,$D$11,0),2)</f>
        <v/>
      </c>
      <c r="O9" s="8">
        <f>ROUND($N$9+IF($B$12=$F$9,$D$12,0)-IF($C$12=$F$9,$D$12,0),2)</f>
        <v/>
      </c>
      <c r="P9" s="8">
        <f>ROUND($O$9+IF($B$13=$F$9,$D$13,0)-IF($C$13=$F$9,$D$13,0),2)</f>
        <v/>
      </c>
      <c r="Q9" s="8">
        <f>ROUND($P$9+IF($B$14=$F$9,$D$14,0)-IF($C$14=$F$9,$D$14,0),2)</f>
        <v/>
      </c>
      <c r="R9" s="8">
        <f>ROUND($Q$9+IF($B$15=$F$9,$D$15,0)-IF($C$15=$F$9,$D$15,0),2)</f>
        <v/>
      </c>
    </row>
    <row r="10">
      <c r="A10" s="6" t="n">
        <v>6</v>
      </c>
      <c r="B10" s="6">
        <f>IF($D$10&gt;0.005,INDEX($F$5:$F$16,MATCH(MIN($L$5:$L$16),$L$5:$L$16,0)),"")</f>
        <v/>
      </c>
      <c r="C10" s="6">
        <f>IF($D$10&gt;0.005,INDEX($F$5:$F$16,MATCH(MAX($L$5:$L$16),$L$5:$L$16,0)),"")</f>
        <v/>
      </c>
      <c r="D10" s="7">
        <f>IF(AND(MIN($L$5:$L$16)&lt;-0.005,MAX($L$5:$L$16)&gt;0.005),MIN(-MIN($L$5:$L$16),MAX($L$5:$L$16)),0)</f>
        <v/>
      </c>
      <c r="F10" s="6">
        <f>Balances!$A$7</f>
        <v/>
      </c>
      <c r="G10" s="8">
        <f>ROUND(Balances!$D$7,2)</f>
        <v/>
      </c>
      <c r="H10" s="8">
        <f>ROUND($G$10+IF($B$5=$F$10,$D$5,0)-IF($C$5=$F$10,$D$5,0),2)</f>
        <v/>
      </c>
      <c r="I10" s="8">
        <f>ROUND($H$10+IF($B$6=$F$10,$D$6,0)-IF($C$6=$F$10,$D$6,0),2)</f>
        <v/>
      </c>
      <c r="J10" s="8">
        <f>ROUND($I$10+IF($B$7=$F$10,$D$7,0)-IF($C$7=$F$10,$D$7,0),2)</f>
        <v/>
      </c>
      <c r="K10" s="8">
        <f>ROUND($J$10+IF($B$8=$F$10,$D$8,0)-IF($C$8=$F$10,$D$8,0),2)</f>
        <v/>
      </c>
      <c r="L10" s="8">
        <f>ROUND($K$10+IF($B$9=$F$10,$D$9,0)-IF($C$9=$F$10,$D$9,0),2)</f>
        <v/>
      </c>
      <c r="M10" s="8">
        <f>ROUND($L$10+IF($B$10=$F$10,$D$10,0)-IF($C$10=$F$10,$D$10,0),2)</f>
        <v/>
      </c>
      <c r="N10" s="8">
        <f>ROUND($M$10+IF($B$11=$F$10,$D$11,0)-IF($C$11=$F$10,$D$11,0),2)</f>
        <v/>
      </c>
      <c r="O10" s="8">
        <f>ROUND($N$10+IF($B$12=$F$10,$D$12,0)-IF($C$12=$F$10,$D$12,0),2)</f>
        <v/>
      </c>
      <c r="P10" s="8">
        <f>ROUND($O$10+IF($B$13=$F$10,$D$13,0)-IF($C$13=$F$10,$D$13,0),2)</f>
        <v/>
      </c>
      <c r="Q10" s="8">
        <f>ROUND($P$10+IF($B$14=$F$10,$D$14,0)-IF($C$14=$F$10,$D$14,0),2)</f>
        <v/>
      </c>
      <c r="R10" s="8">
        <f>ROUND($Q$10+IF($B$15=$F$10,$D$15,0)-IF($C$15=$F$10,$D$15,0),2)</f>
        <v/>
      </c>
    </row>
    <row r="11">
      <c r="A11" s="6" t="n">
        <v>7</v>
      </c>
      <c r="B11" s="6">
        <f>IF($D$11&gt;0.005,INDEX($F$5:$F$16,MATCH(MIN($M$5:$M$16),$M$5:$M$16,0)),"")</f>
        <v/>
      </c>
      <c r="C11" s="6">
        <f>IF($D$11&gt;0.005,INDEX($F$5:$F$16,MATCH(MAX($M$5:$M$16),$M$5:$M$16,0)),"")</f>
        <v/>
      </c>
      <c r="D11" s="7">
        <f>IF(AND(MIN($M$5:$M$16)&lt;-0.005,MAX($M$5:$M$16)&gt;0.005),MIN(-MIN($M$5:$M$16),MAX($M$5:$M$16)),0)</f>
        <v/>
      </c>
      <c r="F11" s="6">
        <f>Balances!$A$8</f>
        <v/>
      </c>
      <c r="G11" s="8">
        <f>ROUND(Balances!$D$8,2)</f>
        <v/>
      </c>
      <c r="H11" s="8">
        <f>ROUND($G$11+IF($B$5=$F$11,$D$5,0)-IF($C$5=$F$11,$D$5,0),2)</f>
        <v/>
      </c>
      <c r="I11" s="8">
        <f>ROUND($H$11+IF($B$6=$F$11,$D$6,0)-IF($C$6=$F$11,$D$6,0),2)</f>
        <v/>
      </c>
      <c r="J11" s="8">
        <f>ROUND($I$11+IF($B$7=$F$11,$D$7,0)-IF($C$7=$F$11,$D$7,0),2)</f>
        <v/>
      </c>
      <c r="K11" s="8">
        <f>ROUND($J$11+IF($B$8=$F$11,$D$8,0)-IF($C$8=$F$11,$D$8,0),2)</f>
        <v/>
      </c>
      <c r="L11" s="8">
        <f>ROUND($K$11+IF($B$9=$F$11,$D$9,0)-IF($C$9=$F$11,$D$9,0),2)</f>
        <v/>
      </c>
      <c r="M11" s="8">
        <f>ROUND($L$11+IF($B$10=$F$11,$D$10,0)-IF($C$10=$F$11,$D$10,0),2)</f>
        <v/>
      </c>
      <c r="N11" s="8">
        <f>ROUND($M$11+IF($B$11=$F$11,$D$11,0)-IF($C$11=$F$11,$D$11,0),2)</f>
        <v/>
      </c>
      <c r="O11" s="8">
        <f>ROUND($N$11+IF($B$12=$F$11,$D$12,0)-IF($C$12=$F$11,$D$12,0),2)</f>
        <v/>
      </c>
      <c r="P11" s="8">
        <f>ROUND($O$11+IF($B$13=$F$11,$D$13,0)-IF($C$13=$F$11,$D$13,0),2)</f>
        <v/>
      </c>
      <c r="Q11" s="8">
        <f>ROUND($P$11+IF($B$14=$F$11,$D$14,0)-IF($C$14=$F$11,$D$14,0),2)</f>
        <v/>
      </c>
      <c r="R11" s="8">
        <f>ROUND($Q$11+IF($B$15=$F$11,$D$15,0)-IF($C$15=$F$11,$D$15,0),2)</f>
        <v/>
      </c>
    </row>
    <row r="12">
      <c r="A12" s="6" t="n">
        <v>8</v>
      </c>
      <c r="B12" s="6">
        <f>IF($D$12&gt;0.005,INDEX($F$5:$F$16,MATCH(MIN($N$5:$N$16),$N$5:$N$16,0)),"")</f>
        <v/>
      </c>
      <c r="C12" s="6">
        <f>IF($D$12&gt;0.005,INDEX($F$5:$F$16,MATCH(MAX($N$5:$N$16),$N$5:$N$16,0)),"")</f>
        <v/>
      </c>
      <c r="D12" s="7">
        <f>IF(AND(MIN($N$5:$N$16)&lt;-0.005,MAX($N$5:$N$16)&gt;0.005),MIN(-MIN($N$5:$N$16),MAX($N$5:$N$16)),0)</f>
        <v/>
      </c>
      <c r="F12" s="6">
        <f>Balances!$A$9</f>
        <v/>
      </c>
      <c r="G12" s="8">
        <f>ROUND(Balances!$D$9,2)</f>
        <v/>
      </c>
      <c r="H12" s="8">
        <f>ROUND($G$12+IF($B$5=$F$12,$D$5,0)-IF($C$5=$F$12,$D$5,0),2)</f>
        <v/>
      </c>
      <c r="I12" s="8">
        <f>ROUND($H$12+IF($B$6=$F$12,$D$6,0)-IF($C$6=$F$12,$D$6,0),2)</f>
        <v/>
      </c>
      <c r="J12" s="8">
        <f>ROUND($I$12+IF($B$7=$F$12,$D$7,0)-IF($C$7=$F$12,$D$7,0),2)</f>
        <v/>
      </c>
      <c r="K12" s="8">
        <f>ROUND($J$12+IF($B$8=$F$12,$D$8,0)-IF($C$8=$F$12,$D$8,0),2)</f>
        <v/>
      </c>
      <c r="L12" s="8">
        <f>ROUND($K$12+IF($B$9=$F$12,$D$9,0)-IF($C$9=$F$12,$D$9,0),2)</f>
        <v/>
      </c>
      <c r="M12" s="8">
        <f>ROUND($L$12+IF($B$10=$F$12,$D$10,0)-IF($C$10=$F$12,$D$10,0),2)</f>
        <v/>
      </c>
      <c r="N12" s="8">
        <f>ROUND($M$12+IF($B$11=$F$12,$D$11,0)-IF($C$11=$F$12,$D$11,0),2)</f>
        <v/>
      </c>
      <c r="O12" s="8">
        <f>ROUND($N$12+IF($B$12=$F$12,$D$12,0)-IF($C$12=$F$12,$D$12,0),2)</f>
        <v/>
      </c>
      <c r="P12" s="8">
        <f>ROUND($O$12+IF($B$13=$F$12,$D$13,0)-IF($C$13=$F$12,$D$13,0),2)</f>
        <v/>
      </c>
      <c r="Q12" s="8">
        <f>ROUND($P$12+IF($B$14=$F$12,$D$14,0)-IF($C$14=$F$12,$D$14,0),2)</f>
        <v/>
      </c>
      <c r="R12" s="8">
        <f>ROUND($Q$12+IF($B$15=$F$12,$D$15,0)-IF($C$15=$F$12,$D$15,0),2)</f>
        <v/>
      </c>
    </row>
    <row r="13">
      <c r="A13" s="6" t="n">
        <v>9</v>
      </c>
      <c r="B13" s="6">
        <f>IF($D$13&gt;0.005,INDEX($F$5:$F$16,MATCH(MIN($O$5:$O$16),$O$5:$O$16,0)),"")</f>
        <v/>
      </c>
      <c r="C13" s="6">
        <f>IF($D$13&gt;0.005,INDEX($F$5:$F$16,MATCH(MAX($O$5:$O$16),$O$5:$O$16,0)),"")</f>
        <v/>
      </c>
      <c r="D13" s="7">
        <f>IF(AND(MIN($O$5:$O$16)&lt;-0.005,MAX($O$5:$O$16)&gt;0.005),MIN(-MIN($O$5:$O$16),MAX($O$5:$O$16)),0)</f>
        <v/>
      </c>
      <c r="F13" s="6">
        <f>Balances!$A$10</f>
        <v/>
      </c>
      <c r="G13" s="8">
        <f>ROUND(Balances!$D$10,2)</f>
        <v/>
      </c>
      <c r="H13" s="8">
        <f>ROUND($G$13+IF($B$5=$F$13,$D$5,0)-IF($C$5=$F$13,$D$5,0),2)</f>
        <v/>
      </c>
      <c r="I13" s="8">
        <f>ROUND($H$13+IF($B$6=$F$13,$D$6,0)-IF($C$6=$F$13,$D$6,0),2)</f>
        <v/>
      </c>
      <c r="J13" s="8">
        <f>ROUND($I$13+IF($B$7=$F$13,$D$7,0)-IF($C$7=$F$13,$D$7,0),2)</f>
        <v/>
      </c>
      <c r="K13" s="8">
        <f>ROUND($J$13+IF($B$8=$F$13,$D$8,0)-IF($C$8=$F$13,$D$8,0),2)</f>
        <v/>
      </c>
      <c r="L13" s="8">
        <f>ROUND($K$13+IF($B$9=$F$13,$D$9,0)-IF($C$9=$F$13,$D$9,0),2)</f>
        <v/>
      </c>
      <c r="M13" s="8">
        <f>ROUND($L$13+IF($B$10=$F$13,$D$10,0)-IF($C$10=$F$13,$D$10,0),2)</f>
        <v/>
      </c>
      <c r="N13" s="8">
        <f>ROUND($M$13+IF($B$11=$F$13,$D$11,0)-IF($C$11=$F$13,$D$11,0),2)</f>
        <v/>
      </c>
      <c r="O13" s="8">
        <f>ROUND($N$13+IF($B$12=$F$13,$D$12,0)-IF($C$12=$F$13,$D$12,0),2)</f>
        <v/>
      </c>
      <c r="P13" s="8">
        <f>ROUND($O$13+IF($B$13=$F$13,$D$13,0)-IF($C$13=$F$13,$D$13,0),2)</f>
        <v/>
      </c>
      <c r="Q13" s="8">
        <f>ROUND($P$13+IF($B$14=$F$13,$D$14,0)-IF($C$14=$F$13,$D$14,0),2)</f>
        <v/>
      </c>
      <c r="R13" s="8">
        <f>ROUND($Q$13+IF($B$15=$F$13,$D$15,0)-IF($C$15=$F$13,$D$15,0),2)</f>
        <v/>
      </c>
    </row>
    <row r="14">
      <c r="A14" s="6" t="n">
        <v>10</v>
      </c>
      <c r="B14" s="6">
        <f>IF($D$14&gt;0.005,INDEX($F$5:$F$16,MATCH(MIN($P$5:$P$16),$P$5:$P$16,0)),"")</f>
        <v/>
      </c>
      <c r="C14" s="6">
        <f>IF($D$14&gt;0.005,INDEX($F$5:$F$16,MATCH(MAX($P$5:$P$16),$P$5:$P$16,0)),"")</f>
        <v/>
      </c>
      <c r="D14" s="7">
        <f>IF(AND(MIN($P$5:$P$16)&lt;-0.005,MAX($P$5:$P$16)&gt;0.005),MIN(-MIN($P$5:$P$16),MAX($P$5:$P$16)),0)</f>
        <v/>
      </c>
      <c r="F14" s="6">
        <f>Balances!$A$11</f>
        <v/>
      </c>
      <c r="G14" s="8">
        <f>ROUND(Balances!$D$11,2)</f>
        <v/>
      </c>
      <c r="H14" s="8">
        <f>ROUND($G$14+IF($B$5=$F$14,$D$5,0)-IF($C$5=$F$14,$D$5,0),2)</f>
        <v/>
      </c>
      <c r="I14" s="8">
        <f>ROUND($H$14+IF($B$6=$F$14,$D$6,0)-IF($C$6=$F$14,$D$6,0),2)</f>
        <v/>
      </c>
      <c r="J14" s="8">
        <f>ROUND($I$14+IF($B$7=$F$14,$D$7,0)-IF($C$7=$F$14,$D$7,0),2)</f>
        <v/>
      </c>
      <c r="K14" s="8">
        <f>ROUND($J$14+IF($B$8=$F$14,$D$8,0)-IF($C$8=$F$14,$D$8,0),2)</f>
        <v/>
      </c>
      <c r="L14" s="8">
        <f>ROUND($K$14+IF($B$9=$F$14,$D$9,0)-IF($C$9=$F$14,$D$9,0),2)</f>
        <v/>
      </c>
      <c r="M14" s="8">
        <f>ROUND($L$14+IF($B$10=$F$14,$D$10,0)-IF($C$10=$F$14,$D$10,0),2)</f>
        <v/>
      </c>
      <c r="N14" s="8">
        <f>ROUND($M$14+IF($B$11=$F$14,$D$11,0)-IF($C$11=$F$14,$D$11,0),2)</f>
        <v/>
      </c>
      <c r="O14" s="8">
        <f>ROUND($N$14+IF($B$12=$F$14,$D$12,0)-IF($C$12=$F$14,$D$12,0),2)</f>
        <v/>
      </c>
      <c r="P14" s="8">
        <f>ROUND($O$14+IF($B$13=$F$14,$D$13,0)-IF($C$13=$F$14,$D$13,0),2)</f>
        <v/>
      </c>
      <c r="Q14" s="8">
        <f>ROUND($P$14+IF($B$14=$F$14,$D$14,0)-IF($C$14=$F$14,$D$14,0),2)</f>
        <v/>
      </c>
      <c r="R14" s="8">
        <f>ROUND($Q$14+IF($B$15=$F$14,$D$15,0)-IF($C$15=$F$14,$D$15,0),2)</f>
        <v/>
      </c>
    </row>
    <row r="15">
      <c r="A15" s="6" t="n">
        <v>11</v>
      </c>
      <c r="B15" s="6">
        <f>IF($D$15&gt;0.005,INDEX($F$5:$F$16,MATCH(MIN($Q$5:$Q$16),$Q$5:$Q$16,0)),"")</f>
        <v/>
      </c>
      <c r="C15" s="6">
        <f>IF($D$15&gt;0.005,INDEX($F$5:$F$16,MATCH(MAX($Q$5:$Q$16),$Q$5:$Q$16,0)),"")</f>
        <v/>
      </c>
      <c r="D15" s="7">
        <f>IF(AND(MIN($Q$5:$Q$16)&lt;-0.005,MAX($Q$5:$Q$16)&gt;0.005),MIN(-MIN($Q$5:$Q$16),MAX($Q$5:$Q$16)),0)</f>
        <v/>
      </c>
      <c r="F15" s="6">
        <f>Balances!$A$12</f>
        <v/>
      </c>
      <c r="G15" s="8">
        <f>ROUND(Balances!$D$12,2)</f>
        <v/>
      </c>
      <c r="H15" s="8">
        <f>ROUND($G$15+IF($B$5=$F$15,$D$5,0)-IF($C$5=$F$15,$D$5,0),2)</f>
        <v/>
      </c>
      <c r="I15" s="8">
        <f>ROUND($H$15+IF($B$6=$F$15,$D$6,0)-IF($C$6=$F$15,$D$6,0),2)</f>
        <v/>
      </c>
      <c r="J15" s="8">
        <f>ROUND($I$15+IF($B$7=$F$15,$D$7,0)-IF($C$7=$F$15,$D$7,0),2)</f>
        <v/>
      </c>
      <c r="K15" s="8">
        <f>ROUND($J$15+IF($B$8=$F$15,$D$8,0)-IF($C$8=$F$15,$D$8,0),2)</f>
        <v/>
      </c>
      <c r="L15" s="8">
        <f>ROUND($K$15+IF($B$9=$F$15,$D$9,0)-IF($C$9=$F$15,$D$9,0),2)</f>
        <v/>
      </c>
      <c r="M15" s="8">
        <f>ROUND($L$15+IF($B$10=$F$15,$D$10,0)-IF($C$10=$F$15,$D$10,0),2)</f>
        <v/>
      </c>
      <c r="N15" s="8">
        <f>ROUND($M$15+IF($B$11=$F$15,$D$11,0)-IF($C$11=$F$15,$D$11,0),2)</f>
        <v/>
      </c>
      <c r="O15" s="8">
        <f>ROUND($N$15+IF($B$12=$F$15,$D$12,0)-IF($C$12=$F$15,$D$12,0),2)</f>
        <v/>
      </c>
      <c r="P15" s="8">
        <f>ROUND($O$15+IF($B$13=$F$15,$D$13,0)-IF($C$13=$F$15,$D$13,0),2)</f>
        <v/>
      </c>
      <c r="Q15" s="8">
        <f>ROUND($P$15+IF($B$14=$F$15,$D$14,0)-IF($C$14=$F$15,$D$14,0),2)</f>
        <v/>
      </c>
      <c r="R15" s="8">
        <f>ROUND($Q$15+IF($B$15=$F$15,$D$15,0)-IF($C$15=$F$15,$D$15,0),2)</f>
        <v/>
      </c>
    </row>
    <row r="16">
      <c r="F16" s="6">
        <f>Balances!$A$13</f>
        <v/>
      </c>
      <c r="G16" s="8">
        <f>ROUND(Balances!$D$13,2)</f>
        <v/>
      </c>
      <c r="H16" s="8">
        <f>ROUND($G$16+IF($B$5=$F$16,$D$5,0)-IF($C$5=$F$16,$D$5,0),2)</f>
        <v/>
      </c>
      <c r="I16" s="8">
        <f>ROUND($H$16+IF($B$6=$F$16,$D$6,0)-IF($C$6=$F$16,$D$6,0),2)</f>
        <v/>
      </c>
      <c r="J16" s="8">
        <f>ROUND($I$16+IF($B$7=$F$16,$D$7,0)-IF($C$7=$F$16,$D$7,0),2)</f>
        <v/>
      </c>
      <c r="K16" s="8">
        <f>ROUND($J$16+IF($B$8=$F$16,$D$8,0)-IF($C$8=$F$16,$D$8,0),2)</f>
        <v/>
      </c>
      <c r="L16" s="8">
        <f>ROUND($K$16+IF($B$9=$F$16,$D$9,0)-IF($C$9=$F$16,$D$9,0),2)</f>
        <v/>
      </c>
      <c r="M16" s="8">
        <f>ROUND($L$16+IF($B$10=$F$16,$D$10,0)-IF($C$10=$F$16,$D$10,0),2)</f>
        <v/>
      </c>
      <c r="N16" s="8">
        <f>ROUND($M$16+IF($B$11=$F$16,$D$11,0)-IF($C$11=$F$16,$D$11,0),2)</f>
        <v/>
      </c>
      <c r="O16" s="8">
        <f>ROUND($N$16+IF($B$12=$F$16,$D$12,0)-IF($C$12=$F$16,$D$12,0),2)</f>
        <v/>
      </c>
      <c r="P16" s="8">
        <f>ROUND($O$16+IF($B$13=$F$16,$D$13,0)-IF($C$13=$F$16,$D$13,0),2)</f>
        <v/>
      </c>
      <c r="Q16" s="8">
        <f>ROUND($P$16+IF($B$14=$F$16,$D$14,0)-IF($C$14=$F$16,$D$14,0),2)</f>
        <v/>
      </c>
      <c r="R16" s="8">
        <f>ROUND($Q$16+IF($B$15=$F$16,$D$15,0)-IF($C$15=$F$16,$D$15,0),2)</f>
        <v/>
      </c>
    </row>
    <row r="18">
      <c r="A18" s="2" t="inlineStr">
        <is>
          <t>Remaining unsettled (must be 0):</t>
        </is>
      </c>
      <c r="D18" s="8">
        <f>SUMPRODUCT(ABS($R$5:$R$16))</f>
        <v/>
      </c>
    </row>
  </sheetData>
  <mergeCells count="2">
    <mergeCell ref="A18:C18"/>
    <mergeCell ref="A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2026-10-10T02:30:29+00:00Z</dcterms:created>
  <dcterms:modified xmlns:dcterms="http://purl.org/dc/terms/" xmlns:xsi="http://www.w3.org/2001/XMLSchema-instance" xsi:type="dcterms:W3CDTF">2026-10-10T02:30:30+00:00Z</dcterms:modified>
</cp:coreProperties>
</file>